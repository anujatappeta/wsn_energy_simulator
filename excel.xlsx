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dhoc\"/>
    </mc:Choice>
  </mc:AlternateContent>
  <xr:revisionPtr revIDLastSave="0" documentId="13_ncr:1_{6A819AB8-5EDE-444B-B11B-204071D77D10}" xr6:coauthVersionLast="47" xr6:coauthVersionMax="47" xr10:uidLastSave="{00000000-0000-0000-0000-000000000000}"/>
  <bookViews>
    <workbookView xWindow="-108" yWindow="-108" windowWidth="23256" windowHeight="12456" xr2:uid="{8E20D7B1-3F7C-4979-A58F-398E7E9BE5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1" l="1"/>
  <c r="C26" i="1"/>
  <c r="C27" i="1"/>
  <c r="C25" i="1"/>
  <c r="C22" i="1"/>
  <c r="C17" i="1"/>
  <c r="C18" i="1"/>
  <c r="C19" i="1"/>
  <c r="C20" i="1"/>
  <c r="C21" i="1"/>
  <c r="C16" i="1"/>
  <c r="C11" i="1"/>
  <c r="C3" i="1"/>
  <c r="C4" i="1"/>
  <c r="C5" i="1"/>
  <c r="C6" i="1"/>
  <c r="C7" i="1"/>
  <c r="C8" i="1"/>
  <c r="C9" i="1"/>
  <c r="C10" i="1"/>
  <c r="C2" i="1"/>
</calcChain>
</file>

<file path=xl/sharedStrings.xml><?xml version="1.0" encoding="utf-8"?>
<sst xmlns="http://schemas.openxmlformats.org/spreadsheetml/2006/main" count="35" uniqueCount="28">
  <si>
    <t>Node</t>
  </si>
  <si>
    <t>Energy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</si>
  <si>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</si>
  <si>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</si>
  <si>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</si>
  <si>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</si>
  <si>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</si>
  <si>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</si>
  <si>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</si>
  <si>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</si>
  <si>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</si>
  <si>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Non-Clustered Energy</t>
  </si>
  <si>
    <t>Distance from Base Station</t>
  </si>
  <si>
    <t xml:space="preserve">Node </t>
  </si>
  <si>
    <t>Distance to Clustered Head</t>
  </si>
  <si>
    <t>Cluster head</t>
  </si>
  <si>
    <t>CH1</t>
  </si>
  <si>
    <t>CH2</t>
  </si>
  <si>
    <t>CH3</t>
  </si>
  <si>
    <t>Distance to base station</t>
  </si>
  <si>
    <t>Parameter</t>
  </si>
  <si>
    <t>Value</t>
  </si>
  <si>
    <t>Eelec</t>
  </si>
  <si>
    <t>50 nJ/bit</t>
  </si>
  <si>
    <t>Eamp</t>
  </si>
  <si>
    <t>100 pJ/bit/m²</t>
  </si>
  <si>
    <t>Packet size(k)</t>
  </si>
  <si>
    <t>4000 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</si>
</sst>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20DDE-6E48-481F-923F-566176BB819F}">
  <dimension ref="A1:G29"/>
  <sheetViews>
    <sheetView tabSelected="1" zoomScale="80" workbookViewId="0">
      <selection activeCell="I10" sqref="I10"/>
    </sheetView>
  </sheetViews>
  <sheetFormatPr defaultRowHeight="14.4" x14ac:dyDescent="0.3"/>
  <cols>
    <col min="1" max="1" width="11.109375" customWidth="1"/>
    <col min="2" max="2" width="29.88671875" customWidth="1"/>
    <col min="3" max="3" width="24.77734375" customWidth="1"/>
    <col min="6" max="6" width="12.6640625" customWidth="1"/>
    <col min="7" max="7" width="13.109375" customWidth="1"/>
  </cols>
  <sheetData>
    <row r="1" spans="1:7" x14ac:dyDescent="0.3">
      <c r="A1" t="s">
        <v>0</v>
      </c>
      <c r="B1" t="s">
        <v>12</v>
      </c>
      <c r="C1" t="s">
        <v>11</v>
      </c>
      <c r="F1" t="s">
        <v>20</v>
      </c>
      <c r="G1" t="s">
        <v>21</v>
      </c>
    </row>
    <row r="2" spans="1:7" x14ac:dyDescent="0.3">
      <c r="A2" t="s">
        <v>2</v>
      </c>
      <c r="B2">
        <v>100</v>
      </c>
      <c r="C2">
        <f>(0.00000005*4000)+(0.0000000001*4000*(B2^2))</f>
        <v>4.1999999999999997E-3</v>
      </c>
      <c r="F2" t="s">
        <v>22</v>
      </c>
      <c r="G2" t="s">
        <v>23</v>
      </c>
    </row>
    <row r="3" spans="1:7" x14ac:dyDescent="0.3">
      <c r="A3" t="s">
        <v>3</v>
      </c>
      <c r="B3">
        <v>100</v>
      </c>
      <c r="C3">
        <f t="shared" ref="C3:C10" si="0">(0.00000005*4000)+(0.0000000001*4000*(B3^2))</f>
        <v>4.1999999999999997E-3</v>
      </c>
      <c r="F3" t="s">
        <v>24</v>
      </c>
      <c r="G3" t="s">
        <v>25</v>
      </c>
    </row>
    <row r="4" spans="1:7" x14ac:dyDescent="0.3">
      <c r="A4" t="s">
        <v>4</v>
      </c>
      <c r="B4">
        <v>100</v>
      </c>
      <c r="C4">
        <f t="shared" si="0"/>
        <v>4.1999999999999997E-3</v>
      </c>
      <c r="F4" t="s">
        <v>26</v>
      </c>
      <c r="G4" t="s">
        <v>27</v>
      </c>
    </row>
    <row r="5" spans="1:7" x14ac:dyDescent="0.3">
      <c r="A5" t="s">
        <v>5</v>
      </c>
      <c r="B5">
        <v>100</v>
      </c>
      <c r="C5">
        <f t="shared" si="0"/>
        <v>4.1999999999999997E-3</v>
      </c>
    </row>
    <row r="6" spans="1:7" x14ac:dyDescent="0.3">
      <c r="A6" t="s">
        <v>6</v>
      </c>
      <c r="B6">
        <v>100</v>
      </c>
      <c r="C6">
        <f t="shared" si="0"/>
        <v>4.1999999999999997E-3</v>
      </c>
    </row>
    <row r="7" spans="1:7" x14ac:dyDescent="0.3">
      <c r="A7" t="s">
        <v>7</v>
      </c>
      <c r="B7">
        <v>100</v>
      </c>
      <c r="C7">
        <f t="shared" si="0"/>
        <v>4.1999999999999997E-3</v>
      </c>
    </row>
    <row r="8" spans="1:7" x14ac:dyDescent="0.3">
      <c r="A8" t="s">
        <v>8</v>
      </c>
      <c r="B8">
        <v>100</v>
      </c>
      <c r="C8">
        <f t="shared" si="0"/>
        <v>4.1999999999999997E-3</v>
      </c>
    </row>
    <row r="9" spans="1:7" x14ac:dyDescent="0.3">
      <c r="A9" t="s">
        <v>9</v>
      </c>
      <c r="B9">
        <v>100</v>
      </c>
      <c r="C9">
        <f t="shared" si="0"/>
        <v>4.1999999999999997E-3</v>
      </c>
    </row>
    <row r="10" spans="1:7" x14ac:dyDescent="0.3">
      <c r="A10" t="s">
        <v>10</v>
      </c>
      <c r="B10">
        <v>100</v>
      </c>
      <c r="C10">
        <f t="shared" si="0"/>
        <v>4.1999999999999997E-3</v>
      </c>
    </row>
    <row r="11" spans="1:7" x14ac:dyDescent="0.3">
      <c r="C11">
        <f>SUM(C2:C10)</f>
        <v>3.78E-2</v>
      </c>
    </row>
    <row r="15" spans="1:7" x14ac:dyDescent="0.3">
      <c r="A15" t="s">
        <v>13</v>
      </c>
      <c r="B15" t="s">
        <v>14</v>
      </c>
      <c r="C15" t="s">
        <v>1</v>
      </c>
    </row>
    <row r="16" spans="1:7" x14ac:dyDescent="0.3">
      <c r="A16" t="s">
        <v>2</v>
      </c>
      <c r="B16">
        <v>20</v>
      </c>
      <c r="C16">
        <f>(0.00000005*4000)+(0.0000000001*4000*(B16^2))</f>
        <v>3.5999999999999997E-4</v>
      </c>
    </row>
    <row r="17" spans="1:3" x14ac:dyDescent="0.3">
      <c r="A17" t="s">
        <v>3</v>
      </c>
      <c r="B17">
        <v>20</v>
      </c>
      <c r="C17">
        <f t="shared" ref="C17:C21" si="1">(0.00000005*4000)+(0.0000000001*4000*(B17^2))</f>
        <v>3.5999999999999997E-4</v>
      </c>
    </row>
    <row r="18" spans="1:3" x14ac:dyDescent="0.3">
      <c r="A18" t="s">
        <v>4</v>
      </c>
      <c r="B18">
        <v>20</v>
      </c>
      <c r="C18">
        <f t="shared" si="1"/>
        <v>3.5999999999999997E-4</v>
      </c>
    </row>
    <row r="19" spans="1:3" x14ac:dyDescent="0.3">
      <c r="A19" t="s">
        <v>5</v>
      </c>
      <c r="B19">
        <v>20</v>
      </c>
      <c r="C19">
        <f t="shared" si="1"/>
        <v>3.5999999999999997E-4</v>
      </c>
    </row>
    <row r="20" spans="1:3" x14ac:dyDescent="0.3">
      <c r="A20" t="s">
        <v>6</v>
      </c>
      <c r="B20">
        <v>20</v>
      </c>
      <c r="C20">
        <f t="shared" si="1"/>
        <v>3.5999999999999997E-4</v>
      </c>
    </row>
    <row r="21" spans="1:3" x14ac:dyDescent="0.3">
      <c r="A21" t="s">
        <v>7</v>
      </c>
      <c r="B21">
        <v>20</v>
      </c>
      <c r="C21">
        <f t="shared" si="1"/>
        <v>3.5999999999999997E-4</v>
      </c>
    </row>
    <row r="22" spans="1:3" x14ac:dyDescent="0.3">
      <c r="C22">
        <f>SUM(C16:C21)</f>
        <v>2.16E-3</v>
      </c>
    </row>
    <row r="24" spans="1:3" x14ac:dyDescent="0.3">
      <c r="A24" t="s">
        <v>15</v>
      </c>
      <c r="B24" t="s">
        <v>19</v>
      </c>
      <c r="C24" t="s">
        <v>1</v>
      </c>
    </row>
    <row r="25" spans="1:3" x14ac:dyDescent="0.3">
      <c r="A25" t="s">
        <v>16</v>
      </c>
      <c r="B25">
        <v>100</v>
      </c>
      <c r="C25">
        <f>(0.00000005*4000)+(0.0000000001*4000*(B25^2))</f>
        <v>4.1999999999999997E-3</v>
      </c>
    </row>
    <row r="26" spans="1:3" x14ac:dyDescent="0.3">
      <c r="A26" t="s">
        <v>17</v>
      </c>
      <c r="B26">
        <v>100</v>
      </c>
      <c r="C26">
        <f t="shared" ref="C26:C27" si="2">(0.00000005*4000)+(0.0000000001*4000*(B26^2))</f>
        <v>4.1999999999999997E-3</v>
      </c>
    </row>
    <row r="27" spans="1:3" x14ac:dyDescent="0.3">
      <c r="A27" t="s">
        <v>18</v>
      </c>
      <c r="B27">
        <v>100</v>
      </c>
      <c r="C27">
        <f t="shared" si="2"/>
        <v>4.1999999999999997E-3</v>
      </c>
    </row>
    <row r="29" spans="1:3" x14ac:dyDescent="0.3">
      <c r="C29">
        <f>SUM(C16:C21)+SUM(C25:C27)</f>
        <v>1.4760000000000001E-2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Anuja Tappeta</dc:creator>
  <cp:lastModifiedBy>Anuja Tappeta</cp:lastModifiedBy>
  <dcterms:created xsi:type="dcterms:W3CDTF">2026-03-10T17:06:52Z</dcterms:created>
  <dcterms:modified xsi:type="dcterms:W3CDTF">2026-03-10T17:43:28Z</dcterms:modified>
</cp:coreProperties>
</file>